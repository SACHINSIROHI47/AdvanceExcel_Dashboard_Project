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4853EEE4-B2D0-4A9F-A78B-8F5511B854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" i="1" l="1"/>
  <c r="F80" i="1"/>
  <c r="F73" i="1"/>
  <c r="F72" i="1"/>
  <c r="E73" i="1"/>
  <c r="E72" i="1"/>
  <c r="E64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C55" i="1"/>
  <c r="D55" i="1"/>
  <c r="E55" i="1"/>
  <c r="B55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C46" i="1"/>
  <c r="D46" i="1"/>
  <c r="E46" i="1"/>
  <c r="B46" i="1"/>
  <c r="C38" i="1"/>
  <c r="C39" i="1"/>
  <c r="D39" i="1"/>
  <c r="C40" i="1"/>
  <c r="D40" i="1"/>
  <c r="C41" i="1"/>
  <c r="D41" i="1"/>
  <c r="D38" i="1"/>
  <c r="B39" i="1"/>
  <c r="B40" i="1"/>
  <c r="B41" i="1"/>
  <c r="B38" i="1"/>
  <c r="C31" i="1"/>
  <c r="C32" i="1"/>
  <c r="C33" i="1"/>
  <c r="C30" i="1"/>
  <c r="B31" i="1"/>
  <c r="B32" i="1"/>
  <c r="B33" i="1"/>
  <c r="B30" i="1"/>
</calcChain>
</file>

<file path=xl/sharedStrings.xml><?xml version="1.0" encoding="utf-8"?>
<sst xmlns="http://schemas.openxmlformats.org/spreadsheetml/2006/main" count="136" uniqueCount="65">
  <si>
    <t>Lookup Functions</t>
  </si>
  <si>
    <t>VLOOKUP</t>
  </si>
  <si>
    <r>
      <t xml:space="preserve">(Vertical Lookup): Searches for a value in the </t>
    </r>
    <r>
      <rPr>
        <b/>
        <sz val="12"/>
        <color theme="1"/>
        <rFont val="Calibri"/>
        <family val="2"/>
        <scheme val="minor"/>
      </rPr>
      <t>first column</t>
    </r>
    <r>
      <rPr>
        <sz val="12"/>
        <color theme="1"/>
        <rFont val="Calibri"/>
        <family val="2"/>
        <scheme val="minor"/>
      </rPr>
      <t xml:space="preserve"> of a table and moves </t>
    </r>
    <r>
      <rPr>
        <b/>
        <sz val="12"/>
        <color theme="1"/>
        <rFont val="Calibri"/>
        <family val="2"/>
        <scheme val="minor"/>
      </rPr>
      <t>right</t>
    </r>
    <r>
      <rPr>
        <sz val="12"/>
        <color theme="1"/>
        <rFont val="Calibri"/>
        <family val="2"/>
        <scheme val="minor"/>
      </rPr>
      <t xml:space="preserve"> to return a value from another column.</t>
    </r>
  </si>
  <si>
    <t>HLOOKUP</t>
  </si>
  <si>
    <r>
      <t xml:space="preserve">(Horizontal Lookup): Searches for a value in the </t>
    </r>
    <r>
      <rPr>
        <b/>
        <sz val="12"/>
        <color theme="1"/>
        <rFont val="Calibri"/>
        <family val="2"/>
        <scheme val="minor"/>
      </rPr>
      <t>top row</t>
    </r>
    <r>
      <rPr>
        <sz val="12"/>
        <color theme="1"/>
        <rFont val="Calibri"/>
        <family val="2"/>
        <scheme val="minor"/>
      </rPr>
      <t xml:space="preserve"> of a table and moves </t>
    </r>
    <r>
      <rPr>
        <b/>
        <sz val="12"/>
        <color theme="1"/>
        <rFont val="Calibri"/>
        <family val="2"/>
        <scheme val="minor"/>
      </rPr>
      <t>down</t>
    </r>
    <r>
      <rPr>
        <sz val="12"/>
        <color theme="1"/>
        <rFont val="Calibri"/>
        <family val="2"/>
        <scheme val="minor"/>
      </rPr>
      <t xml:space="preserve"> to return a value from another row.</t>
    </r>
  </si>
  <si>
    <t>XLOOKUP</t>
  </si>
  <si>
    <r>
      <t xml:space="preserve">(The Upgrade): The modern successor to both. It can search in </t>
    </r>
    <r>
      <rPr>
        <b/>
        <sz val="12"/>
        <color rgb="FF000000"/>
        <rFont val="Calibri"/>
        <scheme val="minor"/>
      </rPr>
      <t>any direction</t>
    </r>
    <r>
      <rPr>
        <sz val="12"/>
        <color rgb="FF000000"/>
        <rFont val="Calibri"/>
        <scheme val="minor"/>
      </rPr>
      <t xml:space="preserve"> (up, down, left, right) and doesn't care where your search column or row is located.</t>
    </r>
  </si>
  <si>
    <t>Enrollment No</t>
  </si>
  <si>
    <t>Candidate Name</t>
  </si>
  <si>
    <t>Birth Date</t>
  </si>
  <si>
    <t>Father Name</t>
  </si>
  <si>
    <t>Paper-1</t>
  </si>
  <si>
    <t>AAFREEN</t>
  </si>
  <si>
    <t>26-01-2003</t>
  </si>
  <si>
    <t xml:space="preserve">JAHANGEER                          </t>
  </si>
  <si>
    <t>V0001001</t>
  </si>
  <si>
    <t xml:space="preserve">AAFREEN  </t>
  </si>
  <si>
    <t>25-02-2003</t>
  </si>
  <si>
    <t>AAFTAB</t>
  </si>
  <si>
    <t xml:space="preserve">AAFREEN JEBA  </t>
  </si>
  <si>
    <t>16-05-2004</t>
  </si>
  <si>
    <t>RAHESUDEEN</t>
  </si>
  <si>
    <t>V0001027</t>
  </si>
  <si>
    <t xml:space="preserve">AARTI  </t>
  </si>
  <si>
    <t>16-09-2002</t>
  </si>
  <si>
    <t>KIRAN PAL</t>
  </si>
  <si>
    <t>16-04-2001</t>
  </si>
  <si>
    <t>VIJAYPAL</t>
  </si>
  <si>
    <t xml:space="preserve">ANSHU RANI  </t>
  </si>
  <si>
    <t>15-12-2002</t>
  </si>
  <si>
    <t xml:space="preserve">RAM KISHAN                         </t>
  </si>
  <si>
    <t xml:space="preserve">BHAVNA  </t>
  </si>
  <si>
    <t>15-12-2003</t>
  </si>
  <si>
    <t>VIJENDRA</t>
  </si>
  <si>
    <t xml:space="preserve">CHAMA  </t>
  </si>
  <si>
    <t>15-12-2004</t>
  </si>
  <si>
    <t>KRISHANPAL</t>
  </si>
  <si>
    <t xml:space="preserve">GEETIKA  </t>
  </si>
  <si>
    <t>15-12-2005</t>
  </si>
  <si>
    <t>ARVIND</t>
  </si>
  <si>
    <t xml:space="preserve">GUNJAN RUHELA  </t>
  </si>
  <si>
    <t>14-07-2003</t>
  </si>
  <si>
    <t>RAJEEV KUMAR RUHELA</t>
  </si>
  <si>
    <t xml:space="preserve">HIMANI KUSHWAH  </t>
  </si>
  <si>
    <t>15-09-2001</t>
  </si>
  <si>
    <t>RAKESH KUSHWAH</t>
  </si>
  <si>
    <t xml:space="preserve">IQRA  </t>
  </si>
  <si>
    <t>13-07-2007</t>
  </si>
  <si>
    <t>SHAKEEL AHMAD</t>
  </si>
  <si>
    <t>Vlookup using match function</t>
  </si>
  <si>
    <t>Sr.No</t>
  </si>
  <si>
    <t>Hlookup using match</t>
  </si>
  <si>
    <t>XLookup</t>
  </si>
  <si>
    <t>Name</t>
  </si>
  <si>
    <t>Computer</t>
  </si>
  <si>
    <t>English</t>
  </si>
  <si>
    <t>James</t>
  </si>
  <si>
    <t>Anita</t>
  </si>
  <si>
    <t>Bob</t>
  </si>
  <si>
    <t>Gita</t>
  </si>
  <si>
    <t>Javed</t>
  </si>
  <si>
    <t>Start</t>
  </si>
  <si>
    <t>End</t>
  </si>
  <si>
    <t>Total Computer Marks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</si>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</sst>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Calibri"/>
      <family val="2"/>
    </font>
    <font>
      <b/>
      <sz val="14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onsolas"/>
      <charset val="1"/>
    </font>
    <font>
      <b/>
      <sz val="18"/>
      <color rgb="FFFF0000"/>
      <name val="Calibri"/>
      <family val="2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Alignment="1"/>
    <xf numFmtId="0" fontId="3" fillId="3" borderId="1" xfId="0" applyFont="1" applyFill="1" applyBorder="1" applyAlignment="1"/>
    <xf numFmtId="0" fontId="3" fillId="3" borderId="2" xfId="0" applyFont="1" applyFill="1" applyBorder="1" applyAlignment="1"/>
    <xf numFmtId="0" fontId="3" fillId="0" borderId="0" xfId="0" applyFont="1" applyFill="1" applyBorder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0" borderId="0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3" fillId="2" borderId="2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5" xfId="0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3" fillId="0" borderId="0" xfId="0" applyFont="1"/>
    <xf numFmtId="0" fontId="6" fillId="5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12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0" xfId="0" applyFont="1" applyFill="1" applyBorder="1" applyAlignment="1"/>
    <xf numFmtId="0" fontId="2" fillId="6" borderId="0" xfId="0" applyFont="1" applyFill="1" applyBorder="1" applyAlignment="1"/>
    <xf numFmtId="0" fontId="4" fillId="6" borderId="0" xfId="0" applyFont="1" applyFill="1" applyBorder="1" applyAlignment="1"/>
    <xf numFmtId="0" fontId="0" fillId="5" borderId="5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wrapText="1"/>
    </xf>
    <xf numFmtId="0" fontId="14" fillId="6" borderId="0" xfId="0" applyFont="1" applyFill="1" applyBorder="1" applyAlignment="1"/>
    <xf numFmtId="0" fontId="3" fillId="3" borderId="5" xfId="0" applyFont="1" applyFill="1" applyBorder="1" applyAlignment="1"/>
    <xf numFmtId="0" fontId="3" fillId="3" borderId="5" xfId="0" applyFont="1" applyFill="1" applyBorder="1" applyAlignment="1">
      <alignment wrapText="1"/>
    </xf>
    <xf numFmtId="0" fontId="1" fillId="0" borderId="5" xfId="0" applyFont="1" applyFill="1" applyBorder="1" applyAlignment="1"/>
    <xf numFmtId="0" fontId="11" fillId="8" borderId="0" xfId="0" applyFont="1" applyFill="1"/>
    <xf numFmtId="0" fontId="14" fillId="7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3" fillId="0" borderId="8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" fillId="0" borderId="0" xfId="0" applyFont="1" applyFill="1" applyBorder="1" applyAlignment="1"/>
    <xf numFmtId="0" fontId="15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topLeftCell="A75" workbookViewId="0">
      <selection activeCell="B92" sqref="B92"/>
    </sheetView>
  </sheetViews>
  <sheetFormatPr defaultRowHeight="15"/>
  <cols>
    <col min="1" max="3" width="36.5703125" bestFit="1" customWidth="1"/>
    <col min="4" max="5" width="24.28515625" bestFit="1" customWidth="1"/>
    <col min="6" max="6" width="20.85546875" bestFit="1" customWidth="1"/>
    <col min="8" max="8" width="13.28515625" bestFit="1" customWidth="1"/>
  </cols>
  <sheetData>
    <row r="1" spans="1:9" ht="23.25">
      <c r="A1" s="42" t="s">
        <v>0</v>
      </c>
      <c r="B1" s="42"/>
      <c r="C1" s="42"/>
      <c r="D1" s="42"/>
      <c r="E1" s="42"/>
      <c r="F1" s="37"/>
      <c r="G1" s="27"/>
      <c r="H1" s="27"/>
      <c r="I1" s="27"/>
    </row>
    <row r="2" spans="1:9">
      <c r="A2" s="47"/>
      <c r="B2" s="47"/>
      <c r="C2" s="47"/>
      <c r="D2" s="47"/>
      <c r="E2" s="47"/>
      <c r="F2" s="10"/>
      <c r="G2" s="27"/>
      <c r="H2" s="27"/>
      <c r="I2" s="27"/>
    </row>
    <row r="3" spans="1:9" ht="15.75">
      <c r="A3" s="48" t="s">
        <v>1</v>
      </c>
      <c r="B3" s="48"/>
      <c r="C3" s="48"/>
      <c r="D3" s="48"/>
      <c r="E3" s="48"/>
      <c r="F3" s="10"/>
      <c r="G3" s="27"/>
      <c r="H3" s="27"/>
      <c r="I3" s="27"/>
    </row>
    <row r="4" spans="1:9" ht="15" customHeight="1">
      <c r="A4" s="49" t="s">
        <v>2</v>
      </c>
      <c r="B4" s="49"/>
      <c r="C4" s="49"/>
      <c r="D4" s="49"/>
      <c r="E4" s="49"/>
      <c r="F4" s="10"/>
      <c r="G4" s="27"/>
      <c r="H4" s="27"/>
      <c r="I4" s="27"/>
    </row>
    <row r="5" spans="1:9" ht="15.75">
      <c r="A5" s="48" t="s">
        <v>3</v>
      </c>
      <c r="B5" s="48"/>
      <c r="C5" s="48"/>
      <c r="D5" s="48"/>
      <c r="E5" s="48"/>
      <c r="F5" s="10"/>
      <c r="G5" s="27"/>
      <c r="H5" s="27"/>
      <c r="I5" s="27"/>
    </row>
    <row r="6" spans="1:9" ht="15" customHeight="1">
      <c r="A6" s="49" t="s">
        <v>4</v>
      </c>
      <c r="B6" s="49"/>
      <c r="C6" s="49"/>
      <c r="D6" s="49"/>
      <c r="E6" s="49"/>
      <c r="F6" s="10"/>
      <c r="G6" s="27"/>
      <c r="H6" s="27"/>
      <c r="I6" s="27"/>
    </row>
    <row r="7" spans="1:9" ht="15.75">
      <c r="A7" s="48" t="s">
        <v>5</v>
      </c>
      <c r="B7" s="48"/>
      <c r="C7" s="48"/>
      <c r="D7" s="48"/>
      <c r="E7" s="48"/>
      <c r="F7" s="10"/>
      <c r="G7" s="27"/>
      <c r="H7" s="27"/>
      <c r="I7" s="27"/>
    </row>
    <row r="8" spans="1:9" ht="15" customHeight="1">
      <c r="A8" s="50" t="s">
        <v>6</v>
      </c>
      <c r="B8" s="50"/>
      <c r="C8" s="50"/>
      <c r="D8" s="50"/>
      <c r="E8" s="50"/>
      <c r="F8" s="10"/>
      <c r="G8" s="27"/>
      <c r="H8" s="27"/>
      <c r="I8" s="27"/>
    </row>
    <row r="9" spans="1:9">
      <c r="A9" s="27"/>
      <c r="B9" s="27"/>
      <c r="C9" s="10"/>
      <c r="D9" s="10"/>
      <c r="E9" s="10"/>
      <c r="F9" s="10"/>
      <c r="G9" s="27"/>
      <c r="H9" s="27"/>
      <c r="I9" s="27"/>
    </row>
    <row r="10" spans="1:9">
      <c r="A10" s="27"/>
      <c r="B10" s="27"/>
      <c r="C10" s="10"/>
      <c r="D10" s="10"/>
      <c r="E10" s="10"/>
      <c r="F10" s="10"/>
      <c r="G10" s="27"/>
      <c r="H10" s="27"/>
      <c r="I10" s="27"/>
    </row>
    <row r="11" spans="1:9">
      <c r="A11" s="31" t="s">
        <v>7</v>
      </c>
      <c r="B11" s="32" t="s">
        <v>8</v>
      </c>
      <c r="C11" s="33" t="s">
        <v>9</v>
      </c>
      <c r="D11" s="33" t="s">
        <v>10</v>
      </c>
      <c r="E11" s="33" t="s">
        <v>11</v>
      </c>
      <c r="F11" s="10"/>
      <c r="G11" s="27"/>
      <c r="H11" s="27"/>
      <c r="I11" s="27"/>
    </row>
    <row r="12" spans="1:9">
      <c r="A12" s="34">
        <v>21115073</v>
      </c>
      <c r="B12" s="35" t="s">
        <v>12</v>
      </c>
      <c r="C12" s="36" t="s">
        <v>13</v>
      </c>
      <c r="D12" s="36" t="s">
        <v>14</v>
      </c>
      <c r="E12" s="36" t="s">
        <v>15</v>
      </c>
      <c r="F12" s="10"/>
      <c r="G12" s="27"/>
      <c r="H12" s="27"/>
      <c r="I12" s="27"/>
    </row>
    <row r="13" spans="1:9">
      <c r="A13" s="34">
        <v>21115073</v>
      </c>
      <c r="B13" s="35" t="s">
        <v>12</v>
      </c>
      <c r="C13" s="36" t="s">
        <v>13</v>
      </c>
      <c r="D13" s="36" t="s">
        <v>14</v>
      </c>
      <c r="E13" s="36" t="s">
        <v>15</v>
      </c>
      <c r="F13" s="10"/>
      <c r="G13" s="27"/>
      <c r="H13" s="27"/>
      <c r="I13" s="27"/>
    </row>
    <row r="14" spans="1:9">
      <c r="A14" s="34">
        <v>21115074</v>
      </c>
      <c r="B14" s="35" t="s">
        <v>16</v>
      </c>
      <c r="C14" s="36" t="s">
        <v>17</v>
      </c>
      <c r="D14" s="36" t="s">
        <v>18</v>
      </c>
      <c r="E14" s="36" t="s">
        <v>15</v>
      </c>
      <c r="F14" s="10"/>
      <c r="G14" s="27"/>
      <c r="H14" s="27"/>
      <c r="I14" s="27"/>
    </row>
    <row r="15" spans="1:9">
      <c r="A15" s="34">
        <v>21115075</v>
      </c>
      <c r="B15" s="35" t="s">
        <v>19</v>
      </c>
      <c r="C15" s="36" t="s">
        <v>20</v>
      </c>
      <c r="D15" s="36" t="s">
        <v>21</v>
      </c>
      <c r="E15" s="36" t="s">
        <v>22</v>
      </c>
      <c r="F15" s="10"/>
      <c r="G15" s="27"/>
      <c r="H15" s="27"/>
      <c r="I15" s="27"/>
    </row>
    <row r="16" spans="1:9">
      <c r="A16" s="34">
        <v>21115085</v>
      </c>
      <c r="B16" s="35" t="s">
        <v>23</v>
      </c>
      <c r="C16" s="36" t="s">
        <v>24</v>
      </c>
      <c r="D16" s="36" t="s">
        <v>25</v>
      </c>
      <c r="E16" s="36" t="s">
        <v>15</v>
      </c>
      <c r="F16" s="10"/>
      <c r="G16" s="27"/>
      <c r="H16" s="27"/>
      <c r="I16" s="27"/>
    </row>
    <row r="17" spans="1:9">
      <c r="A17" s="34">
        <v>21115086</v>
      </c>
      <c r="B17" s="35" t="s">
        <v>23</v>
      </c>
      <c r="C17" s="36" t="s">
        <v>26</v>
      </c>
      <c r="D17" s="36" t="s">
        <v>27</v>
      </c>
      <c r="E17" s="36" t="s">
        <v>15</v>
      </c>
      <c r="F17" s="10"/>
      <c r="G17" s="27"/>
      <c r="H17" s="27"/>
      <c r="I17" s="27"/>
    </row>
    <row r="18" spans="1:9">
      <c r="A18" s="34">
        <v>21115181</v>
      </c>
      <c r="B18" s="35" t="s">
        <v>28</v>
      </c>
      <c r="C18" s="36" t="s">
        <v>29</v>
      </c>
      <c r="D18" s="36" t="s">
        <v>30</v>
      </c>
      <c r="E18" s="36" t="s">
        <v>15</v>
      </c>
      <c r="F18" s="10"/>
      <c r="G18" s="27"/>
      <c r="H18" s="27"/>
      <c r="I18" s="27"/>
    </row>
    <row r="19" spans="1:9">
      <c r="A19" s="34">
        <v>21115217</v>
      </c>
      <c r="B19" s="35" t="s">
        <v>31</v>
      </c>
      <c r="C19" s="36" t="s">
        <v>32</v>
      </c>
      <c r="D19" s="36" t="s">
        <v>33</v>
      </c>
      <c r="E19" s="36" t="s">
        <v>15</v>
      </c>
      <c r="F19" s="10"/>
      <c r="G19" s="27"/>
      <c r="H19" s="27"/>
      <c r="I19" s="27"/>
    </row>
    <row r="20" spans="1:9">
      <c r="A20" s="34">
        <v>21115223</v>
      </c>
      <c r="B20" s="35" t="s">
        <v>34</v>
      </c>
      <c r="C20" s="36" t="s">
        <v>35</v>
      </c>
      <c r="D20" s="36" t="s">
        <v>36</v>
      </c>
      <c r="E20" s="36" t="s">
        <v>22</v>
      </c>
      <c r="F20" s="10"/>
      <c r="G20" s="27"/>
      <c r="H20" s="27"/>
      <c r="I20" s="27"/>
    </row>
    <row r="21" spans="1:9">
      <c r="A21" s="34">
        <v>21115275</v>
      </c>
      <c r="B21" s="35" t="s">
        <v>37</v>
      </c>
      <c r="C21" s="36" t="s">
        <v>38</v>
      </c>
      <c r="D21" s="36" t="s">
        <v>39</v>
      </c>
      <c r="E21" s="36" t="s">
        <v>15</v>
      </c>
      <c r="F21" s="10"/>
      <c r="G21" s="27"/>
      <c r="H21" s="27"/>
      <c r="I21" s="27"/>
    </row>
    <row r="22" spans="1:9">
      <c r="A22" s="34">
        <v>21115281</v>
      </c>
      <c r="B22" s="35" t="s">
        <v>40</v>
      </c>
      <c r="C22" s="36" t="s">
        <v>41</v>
      </c>
      <c r="D22" s="36" t="s">
        <v>42</v>
      </c>
      <c r="E22" s="36" t="s">
        <v>22</v>
      </c>
      <c r="F22" s="10"/>
      <c r="G22" s="27"/>
      <c r="H22" s="27"/>
      <c r="I22" s="27"/>
    </row>
    <row r="23" spans="1:9">
      <c r="A23" s="34">
        <v>21115290</v>
      </c>
      <c r="B23" s="35" t="s">
        <v>43</v>
      </c>
      <c r="C23" s="36" t="s">
        <v>44</v>
      </c>
      <c r="D23" s="36" t="s">
        <v>45</v>
      </c>
      <c r="E23" s="36" t="s">
        <v>22</v>
      </c>
      <c r="F23" s="10"/>
      <c r="G23" s="27"/>
      <c r="H23" s="27"/>
      <c r="I23" s="27"/>
    </row>
    <row r="24" spans="1:9">
      <c r="A24" s="34">
        <v>21115312</v>
      </c>
      <c r="B24" s="35" t="s">
        <v>46</v>
      </c>
      <c r="C24" s="36" t="s">
        <v>47</v>
      </c>
      <c r="D24" s="36" t="s">
        <v>48</v>
      </c>
      <c r="E24" s="36" t="s">
        <v>15</v>
      </c>
      <c r="F24" s="10"/>
      <c r="G24" s="27"/>
      <c r="H24" s="27"/>
      <c r="I24" s="27"/>
    </row>
    <row r="25" spans="1:9">
      <c r="A25" s="27"/>
      <c r="B25" s="27"/>
      <c r="C25" s="10"/>
      <c r="D25" s="10"/>
      <c r="E25" s="10"/>
      <c r="F25" s="10"/>
      <c r="G25" s="27"/>
      <c r="H25" s="27"/>
      <c r="I25" s="27"/>
    </row>
    <row r="26" spans="1:9">
      <c r="A26" s="27"/>
      <c r="B26" s="27"/>
      <c r="C26" s="10"/>
      <c r="D26" s="10"/>
      <c r="E26" s="10"/>
      <c r="F26" s="10"/>
      <c r="G26" s="27"/>
      <c r="H26" s="27"/>
      <c r="I26" s="27"/>
    </row>
    <row r="27" spans="1:9" ht="18.75">
      <c r="A27" s="43" t="s">
        <v>1</v>
      </c>
      <c r="B27" s="43"/>
      <c r="C27" s="43"/>
      <c r="D27" s="43"/>
      <c r="E27" s="43"/>
      <c r="F27" s="10"/>
      <c r="G27" s="27"/>
      <c r="H27" s="27"/>
      <c r="I27" s="27"/>
    </row>
    <row r="28" spans="1:9" ht="21.75" customHeight="1">
      <c r="A28" s="29"/>
      <c r="B28" s="46"/>
      <c r="C28" s="46"/>
      <c r="D28" s="46"/>
      <c r="E28" s="29"/>
      <c r="F28" s="10"/>
      <c r="G28" s="27"/>
      <c r="H28" s="27"/>
      <c r="I28" s="27"/>
    </row>
    <row r="29" spans="1:9">
      <c r="A29" s="5" t="s">
        <v>7</v>
      </c>
      <c r="B29" s="6" t="s">
        <v>8</v>
      </c>
      <c r="C29" s="12" t="s">
        <v>11</v>
      </c>
      <c r="D29" s="10"/>
      <c r="E29" s="14"/>
      <c r="F29" s="10"/>
      <c r="G29" s="27"/>
      <c r="H29" s="27"/>
      <c r="I29" s="27"/>
    </row>
    <row r="30" spans="1:9">
      <c r="A30" s="1">
        <v>21115073</v>
      </c>
      <c r="B30" s="2" t="str">
        <f>VLOOKUP($A30,$A$12:$E$24,2,FALSE)</f>
        <v>AAFREEN</v>
      </c>
      <c r="C30" s="2" t="str">
        <f>VLOOKUP($A30,$A$12:$E$24,5,FALSE)</f>
        <v>V0001001</v>
      </c>
      <c r="D30" s="10"/>
      <c r="E30" s="10"/>
      <c r="F30" s="10"/>
      <c r="G30" s="27"/>
      <c r="H30" s="27"/>
      <c r="I30" s="27"/>
    </row>
    <row r="31" spans="1:9">
      <c r="A31" s="1">
        <v>21115075</v>
      </c>
      <c r="B31" s="2" t="str">
        <f t="shared" ref="B31:C33" si="0">VLOOKUP($A31,$A$12:$E$24,2,FALSE)</f>
        <v xml:space="preserve">AAFREEN JEBA  </v>
      </c>
      <c r="C31" s="2" t="str">
        <f t="shared" ref="C31:C33" si="1">VLOOKUP($A31,$A$12:$E$24,5,FALSE)</f>
        <v>V0001027</v>
      </c>
      <c r="D31" s="10"/>
      <c r="E31" s="10"/>
      <c r="F31" s="10"/>
      <c r="G31" s="27"/>
      <c r="H31" s="27"/>
      <c r="I31" s="27"/>
    </row>
    <row r="32" spans="1:9">
      <c r="A32" s="1">
        <v>21115290</v>
      </c>
      <c r="B32" s="2" t="str">
        <f t="shared" si="0"/>
        <v xml:space="preserve">HIMANI KUSHWAH  </v>
      </c>
      <c r="C32" s="2" t="str">
        <f t="shared" si="1"/>
        <v>V0001027</v>
      </c>
      <c r="D32" s="10"/>
      <c r="E32" s="10"/>
      <c r="F32" s="10"/>
      <c r="G32" s="27"/>
      <c r="H32" s="27"/>
      <c r="I32" s="27"/>
    </row>
    <row r="33" spans="1:9">
      <c r="A33" s="1">
        <v>21115074</v>
      </c>
      <c r="B33" s="2" t="str">
        <f t="shared" si="0"/>
        <v xml:space="preserve">AAFREEN  </v>
      </c>
      <c r="C33" s="2" t="str">
        <f t="shared" si="1"/>
        <v>V0001001</v>
      </c>
      <c r="D33" s="10"/>
      <c r="E33" s="10"/>
      <c r="F33" s="10"/>
      <c r="G33" s="27"/>
      <c r="H33" s="27"/>
      <c r="I33" s="27"/>
    </row>
    <row r="34" spans="1:9">
      <c r="A34" s="7"/>
      <c r="B34" s="27"/>
      <c r="C34" s="10"/>
      <c r="D34" s="10"/>
      <c r="E34" s="10"/>
      <c r="F34" s="10"/>
      <c r="G34" s="27"/>
      <c r="H34" s="27"/>
      <c r="I34" s="27"/>
    </row>
    <row r="35" spans="1:9" ht="18.75">
      <c r="A35" s="43" t="s">
        <v>49</v>
      </c>
      <c r="B35" s="43"/>
      <c r="C35" s="43"/>
      <c r="D35" s="43"/>
      <c r="E35" s="43"/>
      <c r="F35" s="14"/>
      <c r="G35" s="4"/>
      <c r="H35" s="4"/>
      <c r="I35" s="4"/>
    </row>
    <row r="36" spans="1:9" ht="16.5" customHeight="1">
      <c r="A36" s="28"/>
      <c r="B36" s="45"/>
      <c r="C36" s="45"/>
      <c r="D36" s="45"/>
      <c r="E36" s="10"/>
      <c r="F36" s="14"/>
      <c r="G36" s="4"/>
      <c r="H36" s="4"/>
      <c r="I36" s="4"/>
    </row>
    <row r="37" spans="1:9">
      <c r="A37" s="5" t="s">
        <v>7</v>
      </c>
      <c r="B37" s="6" t="s">
        <v>8</v>
      </c>
      <c r="C37" s="12" t="s">
        <v>11</v>
      </c>
      <c r="D37" s="12" t="s">
        <v>9</v>
      </c>
      <c r="E37" s="10"/>
      <c r="F37" s="10"/>
      <c r="G37" s="27"/>
      <c r="H37" s="27"/>
      <c r="I37" s="27"/>
    </row>
    <row r="38" spans="1:9">
      <c r="A38" s="1">
        <v>21115073</v>
      </c>
      <c r="B38" s="11" t="str">
        <f>VLOOKUP($A38,$A$12:$E$24,MATCH(B$37,$A$11:$E$11,0),FALSE)</f>
        <v>AAFREEN</v>
      </c>
      <c r="C38" s="11" t="str">
        <f>VLOOKUP($A38,$A$12:$E$24,MATCH(C$37,$A$11:$E$11,0),FALSE)</f>
        <v>V0001001</v>
      </c>
      <c r="D38" s="11" t="str">
        <f>VLOOKUP($A38,$A$12:$E$24,MATCH(D$37,$A$11:$E$11,0),FALSE)</f>
        <v>26-01-2003</v>
      </c>
      <c r="E38" s="10"/>
      <c r="F38" s="10"/>
      <c r="G38" s="27"/>
      <c r="H38" s="27"/>
      <c r="I38" s="27"/>
    </row>
    <row r="39" spans="1:9">
      <c r="A39" s="1">
        <v>21115075</v>
      </c>
      <c r="B39" s="11" t="str">
        <f t="shared" ref="B39:D41" si="2">VLOOKUP($A39,$A$12:$E$24,MATCH(B$37,$A$11:$E$11,0),FALSE)</f>
        <v xml:space="preserve">AAFREEN JEBA  </v>
      </c>
      <c r="C39" s="11" t="str">
        <f t="shared" si="2"/>
        <v>V0001027</v>
      </c>
      <c r="D39" s="11" t="str">
        <f t="shared" si="2"/>
        <v>16-05-2004</v>
      </c>
      <c r="E39" s="10"/>
      <c r="F39" s="10"/>
      <c r="G39" s="27"/>
      <c r="H39" s="27"/>
      <c r="I39" s="27"/>
    </row>
    <row r="40" spans="1:9">
      <c r="A40" s="1">
        <v>21115290</v>
      </c>
      <c r="B40" s="11" t="str">
        <f t="shared" si="2"/>
        <v xml:space="preserve">HIMANI KUSHWAH  </v>
      </c>
      <c r="C40" s="11" t="str">
        <f t="shared" si="2"/>
        <v>V0001027</v>
      </c>
      <c r="D40" s="11" t="str">
        <f t="shared" si="2"/>
        <v>15-09-2001</v>
      </c>
      <c r="E40" s="10"/>
      <c r="F40" s="10"/>
      <c r="G40" s="27"/>
      <c r="H40" s="27"/>
      <c r="I40" s="27"/>
    </row>
    <row r="41" spans="1:9">
      <c r="A41" s="1">
        <v>21115074</v>
      </c>
      <c r="B41" s="11" t="str">
        <f t="shared" si="2"/>
        <v xml:space="preserve">AAFREEN  </v>
      </c>
      <c r="C41" s="11" t="str">
        <f t="shared" si="2"/>
        <v>V0001001</v>
      </c>
      <c r="D41" s="11" t="str">
        <f t="shared" si="2"/>
        <v>25-02-2003</v>
      </c>
      <c r="E41" s="10"/>
      <c r="F41" s="10"/>
      <c r="G41" s="27"/>
      <c r="H41" s="27"/>
      <c r="I41" s="27"/>
    </row>
    <row r="42" spans="1:9">
      <c r="A42" s="27"/>
      <c r="B42" s="27"/>
      <c r="C42" s="10"/>
      <c r="D42" s="10"/>
      <c r="E42" s="10"/>
      <c r="F42" s="10"/>
      <c r="G42" s="27"/>
      <c r="H42" s="27"/>
      <c r="I42" s="27"/>
    </row>
    <row r="43" spans="1:9" ht="18.75">
      <c r="A43" s="43" t="s">
        <v>3</v>
      </c>
      <c r="B43" s="43"/>
      <c r="C43" s="43"/>
      <c r="D43" s="43"/>
      <c r="E43" s="43"/>
      <c r="F43" s="16"/>
      <c r="G43" s="27"/>
      <c r="H43" s="27"/>
      <c r="I43" s="27"/>
    </row>
    <row r="44" spans="1:9" ht="19.5" customHeight="1">
      <c r="A44" s="27"/>
      <c r="B44" s="45"/>
      <c r="C44" s="45"/>
      <c r="D44" s="45"/>
      <c r="E44" s="10"/>
      <c r="F44" s="10"/>
      <c r="G44" s="27"/>
      <c r="H44" s="27"/>
      <c r="I44" s="27"/>
    </row>
    <row r="45" spans="1:9">
      <c r="A45" s="8" t="s">
        <v>50</v>
      </c>
      <c r="B45" s="9" t="s">
        <v>7</v>
      </c>
      <c r="C45" s="13" t="s">
        <v>8</v>
      </c>
      <c r="D45" s="15" t="s">
        <v>11</v>
      </c>
      <c r="E45" s="15" t="s">
        <v>10</v>
      </c>
      <c r="F45" s="10"/>
      <c r="G45" s="4"/>
      <c r="H45" s="4"/>
      <c r="I45" s="4"/>
    </row>
    <row r="46" spans="1:9">
      <c r="A46" s="3">
        <v>5</v>
      </c>
      <c r="B46" s="2">
        <f>HLOOKUP(B$45,$A$11:$E$24,$A46,FALSE)</f>
        <v>21115075</v>
      </c>
      <c r="C46" s="2" t="str">
        <f t="shared" ref="C46:E50" si="3">HLOOKUP(C$45,$A$11:$E$24,$A46,FALSE)</f>
        <v xml:space="preserve">AAFREEN JEBA  </v>
      </c>
      <c r="D46" s="2" t="str">
        <f t="shared" si="3"/>
        <v>V0001027</v>
      </c>
      <c r="E46" s="2" t="str">
        <f t="shared" si="3"/>
        <v>RAHESUDEEN</v>
      </c>
      <c r="F46" s="10"/>
      <c r="G46" s="27"/>
      <c r="H46" s="27"/>
      <c r="I46" s="27"/>
    </row>
    <row r="47" spans="1:9">
      <c r="A47" s="3">
        <v>4</v>
      </c>
      <c r="B47" s="2">
        <f t="shared" ref="B47:B50" si="4">HLOOKUP(B$45,$A$11:$E$24,$A47,FALSE)</f>
        <v>21115074</v>
      </c>
      <c r="C47" s="2" t="str">
        <f t="shared" si="3"/>
        <v xml:space="preserve">AAFREEN  </v>
      </c>
      <c r="D47" s="2" t="str">
        <f t="shared" si="3"/>
        <v>V0001001</v>
      </c>
      <c r="E47" s="2" t="str">
        <f t="shared" si="3"/>
        <v>AAFTAB</v>
      </c>
      <c r="F47" s="10"/>
      <c r="G47" s="27"/>
      <c r="H47" s="27"/>
      <c r="I47" s="27"/>
    </row>
    <row r="48" spans="1:9">
      <c r="A48" s="3">
        <v>2</v>
      </c>
      <c r="B48" s="2">
        <f t="shared" si="4"/>
        <v>21115073</v>
      </c>
      <c r="C48" s="2" t="str">
        <f t="shared" si="3"/>
        <v>AAFREEN</v>
      </c>
      <c r="D48" s="2" t="str">
        <f t="shared" si="3"/>
        <v>V0001001</v>
      </c>
      <c r="E48" s="2" t="str">
        <f t="shared" si="3"/>
        <v xml:space="preserve">JAHANGEER                          </v>
      </c>
      <c r="F48" s="10"/>
      <c r="G48" s="27"/>
      <c r="H48" s="27"/>
      <c r="I48" s="27"/>
    </row>
    <row r="49" spans="1:9">
      <c r="A49" s="3">
        <v>7</v>
      </c>
      <c r="B49" s="2">
        <f t="shared" si="4"/>
        <v>21115086</v>
      </c>
      <c r="C49" s="2" t="str">
        <f t="shared" si="3"/>
        <v xml:space="preserve">AARTI  </v>
      </c>
      <c r="D49" s="2" t="str">
        <f t="shared" si="3"/>
        <v>V0001001</v>
      </c>
      <c r="E49" s="2" t="str">
        <f t="shared" si="3"/>
        <v>VIJAYPAL</v>
      </c>
      <c r="F49" s="10"/>
      <c r="G49" s="27"/>
      <c r="H49" s="27"/>
      <c r="I49" s="27"/>
    </row>
    <row r="50" spans="1:9">
      <c r="A50" s="3">
        <v>8</v>
      </c>
      <c r="B50" s="2">
        <f t="shared" si="4"/>
        <v>21115181</v>
      </c>
      <c r="C50" s="2" t="str">
        <f t="shared" si="3"/>
        <v xml:space="preserve">ANSHU RANI  </v>
      </c>
      <c r="D50" s="2" t="str">
        <f t="shared" si="3"/>
        <v>V0001001</v>
      </c>
      <c r="E50" s="2" t="str">
        <f t="shared" si="3"/>
        <v xml:space="preserve">RAM KISHAN                         </v>
      </c>
      <c r="F50" s="10"/>
      <c r="G50" s="27"/>
      <c r="H50" s="27"/>
      <c r="I50" s="27"/>
    </row>
    <row r="51" spans="1:9">
      <c r="A51" s="27"/>
      <c r="B51" s="27"/>
      <c r="C51" s="10"/>
      <c r="D51" s="10"/>
      <c r="E51" s="10"/>
      <c r="F51" s="10"/>
      <c r="G51" s="27"/>
      <c r="H51" s="27"/>
      <c r="I51" s="27"/>
    </row>
    <row r="52" spans="1:9" ht="18.75">
      <c r="A52" s="43" t="s">
        <v>51</v>
      </c>
      <c r="B52" s="43"/>
      <c r="C52" s="43"/>
      <c r="D52" s="43"/>
      <c r="E52" s="43"/>
      <c r="F52" s="10"/>
      <c r="G52" s="27"/>
      <c r="H52" s="27"/>
      <c r="I52" s="27"/>
    </row>
    <row r="53" spans="1:9">
      <c r="A53" s="27"/>
      <c r="B53" s="21"/>
      <c r="C53" s="10"/>
      <c r="D53" s="10"/>
      <c r="E53" s="10"/>
      <c r="F53" s="10"/>
      <c r="G53" s="27"/>
      <c r="H53" s="27"/>
      <c r="I53" s="27"/>
    </row>
    <row r="54" spans="1:9">
      <c r="A54" s="38" t="s">
        <v>7</v>
      </c>
      <c r="B54" s="38" t="s">
        <v>8</v>
      </c>
      <c r="C54" s="39" t="s">
        <v>9</v>
      </c>
      <c r="D54" s="39" t="s">
        <v>10</v>
      </c>
      <c r="E54" s="39" t="s">
        <v>11</v>
      </c>
      <c r="F54" s="10"/>
      <c r="G54" s="4"/>
      <c r="H54" s="4"/>
      <c r="I54" s="4"/>
    </row>
    <row r="55" spans="1:9">
      <c r="A55" s="40">
        <v>21115075</v>
      </c>
      <c r="B55" s="40" t="str">
        <f>HLOOKUP(B$54,$A$11:$E$24,MATCH($A55,$A$11:$A$24,0),FALSE)</f>
        <v xml:space="preserve">AAFREEN JEBA  </v>
      </c>
      <c r="C55" s="40" t="str">
        <f t="shared" ref="C55:E59" si="5">HLOOKUP(C$54,$A$11:$E$24,MATCH($A55,$A$11:$A$24,0),FALSE)</f>
        <v>16-05-2004</v>
      </c>
      <c r="D55" s="40" t="str">
        <f t="shared" si="5"/>
        <v>RAHESUDEEN</v>
      </c>
      <c r="E55" s="40" t="str">
        <f t="shared" si="5"/>
        <v>V0001027</v>
      </c>
      <c r="F55" s="10"/>
      <c r="G55" s="27"/>
      <c r="H55" s="27"/>
      <c r="I55" s="27"/>
    </row>
    <row r="56" spans="1:9">
      <c r="A56" s="40">
        <v>21115074</v>
      </c>
      <c r="B56" s="40" t="str">
        <f t="shared" ref="B56:B59" si="6">HLOOKUP(B$54,$A$11:$E$24,MATCH($A56,$A$11:$A$24,0),FALSE)</f>
        <v xml:space="preserve">AAFREEN  </v>
      </c>
      <c r="C56" s="40" t="str">
        <f t="shared" si="5"/>
        <v>25-02-2003</v>
      </c>
      <c r="D56" s="40" t="str">
        <f t="shared" si="5"/>
        <v>AAFTAB</v>
      </c>
      <c r="E56" s="40" t="str">
        <f t="shared" si="5"/>
        <v>V0001001</v>
      </c>
      <c r="F56" s="10"/>
      <c r="G56" s="27"/>
      <c r="H56" s="27"/>
      <c r="I56" s="27"/>
    </row>
    <row r="57" spans="1:9">
      <c r="A57" s="40">
        <v>21115073</v>
      </c>
      <c r="B57" s="40" t="str">
        <f t="shared" si="6"/>
        <v>AAFREEN</v>
      </c>
      <c r="C57" s="40" t="str">
        <f t="shared" si="5"/>
        <v>26-01-2003</v>
      </c>
      <c r="D57" s="40" t="str">
        <f t="shared" si="5"/>
        <v xml:space="preserve">JAHANGEER                          </v>
      </c>
      <c r="E57" s="40" t="str">
        <f t="shared" si="5"/>
        <v>V0001001</v>
      </c>
      <c r="F57" s="10"/>
      <c r="G57" s="27"/>
      <c r="H57" s="27"/>
      <c r="I57" s="27"/>
    </row>
    <row r="58" spans="1:9">
      <c r="A58" s="40">
        <v>21115086</v>
      </c>
      <c r="B58" s="40" t="str">
        <f t="shared" si="6"/>
        <v xml:space="preserve">AARTI  </v>
      </c>
      <c r="C58" s="40" t="str">
        <f t="shared" si="5"/>
        <v>16-04-2001</v>
      </c>
      <c r="D58" s="40" t="str">
        <f t="shared" si="5"/>
        <v>VIJAYPAL</v>
      </c>
      <c r="E58" s="40" t="str">
        <f t="shared" si="5"/>
        <v>V0001001</v>
      </c>
      <c r="F58" s="10"/>
      <c r="G58" s="27"/>
      <c r="H58" s="27"/>
      <c r="I58" s="27"/>
    </row>
    <row r="59" spans="1:9">
      <c r="A59" s="40">
        <v>21115181</v>
      </c>
      <c r="B59" s="40" t="str">
        <f t="shared" si="6"/>
        <v xml:space="preserve">ANSHU RANI  </v>
      </c>
      <c r="C59" s="40" t="str">
        <f t="shared" si="5"/>
        <v>15-12-2002</v>
      </c>
      <c r="D59" s="40" t="str">
        <f t="shared" si="5"/>
        <v xml:space="preserve">RAM KISHAN                         </v>
      </c>
      <c r="E59" s="40" t="str">
        <f t="shared" si="5"/>
        <v>V0001001</v>
      </c>
      <c r="F59" s="10"/>
      <c r="G59" s="27"/>
      <c r="H59" s="27"/>
      <c r="I59" s="27"/>
    </row>
    <row r="60" spans="1:9">
      <c r="A60" s="27"/>
      <c r="B60" s="27"/>
      <c r="C60" s="10"/>
      <c r="D60" s="10"/>
      <c r="E60" s="10"/>
      <c r="F60" s="10"/>
      <c r="G60" s="27"/>
      <c r="H60" s="27"/>
      <c r="I60" s="27"/>
    </row>
    <row r="61" spans="1:9" ht="18.75">
      <c r="A61" s="43" t="s">
        <v>52</v>
      </c>
      <c r="B61" s="43"/>
      <c r="C61" s="43"/>
      <c r="D61" s="43"/>
      <c r="E61" s="43"/>
      <c r="F61" s="10"/>
      <c r="G61" s="27"/>
      <c r="H61" s="27"/>
      <c r="I61" s="27"/>
    </row>
    <row r="62" spans="1:9" ht="18.75" customHeight="1">
      <c r="A62" s="18"/>
      <c r="C62" s="44"/>
      <c r="D62" s="44"/>
      <c r="E62" s="44"/>
      <c r="F62" s="10"/>
      <c r="G62" s="27"/>
      <c r="H62" s="27"/>
      <c r="I62" s="27"/>
    </row>
    <row r="63" spans="1:9">
      <c r="A63" s="20" t="s">
        <v>53</v>
      </c>
      <c r="B63" s="20" t="s">
        <v>54</v>
      </c>
      <c r="C63" s="25" t="s">
        <v>55</v>
      </c>
      <c r="D63" s="22" t="s">
        <v>53</v>
      </c>
      <c r="E63" s="22" t="s">
        <v>54</v>
      </c>
      <c r="F63" s="10"/>
      <c r="G63" s="27"/>
      <c r="H63" s="27"/>
      <c r="I63" s="27"/>
    </row>
    <row r="64" spans="1:9">
      <c r="A64" s="19" t="s">
        <v>56</v>
      </c>
      <c r="B64" s="19">
        <v>80</v>
      </c>
      <c r="C64" s="26">
        <v>45</v>
      </c>
      <c r="D64" s="23" t="s">
        <v>57</v>
      </c>
      <c r="E64" s="19">
        <f>_xlfn.XLOOKUP(D64,A64:A68,B64:B68,"Not Found",0)</f>
        <v>75</v>
      </c>
      <c r="F64" s="10"/>
      <c r="G64" s="27"/>
      <c r="H64" s="27"/>
      <c r="I64" s="27"/>
    </row>
    <row r="65" spans="1:9">
      <c r="A65" s="19" t="s">
        <v>58</v>
      </c>
      <c r="B65" s="19">
        <v>60</v>
      </c>
      <c r="C65" s="19">
        <v>65</v>
      </c>
      <c r="D65" s="17"/>
      <c r="E65" s="10"/>
      <c r="F65" s="10"/>
      <c r="G65" s="27"/>
      <c r="H65" s="27"/>
      <c r="I65" s="27"/>
    </row>
    <row r="66" spans="1:9">
      <c r="A66" s="19" t="s">
        <v>59</v>
      </c>
      <c r="B66" s="19">
        <v>52</v>
      </c>
      <c r="C66" s="19">
        <v>74</v>
      </c>
      <c r="D66" s="21"/>
      <c r="E66" s="10"/>
      <c r="F66" s="10"/>
      <c r="G66" s="27"/>
      <c r="H66" s="27"/>
      <c r="I66" s="27"/>
    </row>
    <row r="67" spans="1:9">
      <c r="A67" s="19" t="s">
        <v>57</v>
      </c>
      <c r="B67" s="19">
        <v>75</v>
      </c>
      <c r="C67" s="19">
        <v>64</v>
      </c>
      <c r="E67" s="10"/>
      <c r="F67" s="10"/>
      <c r="G67" s="27"/>
      <c r="H67" s="27"/>
      <c r="I67" s="27"/>
    </row>
    <row r="68" spans="1:9">
      <c r="A68" s="19" t="s">
        <v>60</v>
      </c>
      <c r="B68" s="19">
        <v>65</v>
      </c>
      <c r="C68" s="19">
        <v>80</v>
      </c>
      <c r="E68" s="10"/>
      <c r="F68" s="10"/>
      <c r="G68" s="27"/>
      <c r="H68" s="27"/>
      <c r="I68" s="27"/>
    </row>
    <row r="69" spans="1:9">
      <c r="A69" s="27"/>
      <c r="B69" s="27"/>
      <c r="C69" s="10"/>
      <c r="D69" s="10"/>
      <c r="E69" s="10"/>
      <c r="F69" s="10"/>
      <c r="G69" s="27"/>
      <c r="H69" s="27"/>
      <c r="I69" s="27"/>
    </row>
    <row r="70" spans="1:9" ht="18" customHeight="1">
      <c r="A70" s="41" t="s">
        <v>52</v>
      </c>
      <c r="C70" s="44"/>
      <c r="D70" s="44"/>
      <c r="E70" s="44"/>
      <c r="F70" s="44"/>
    </row>
    <row r="71" spans="1:9" ht="18" customHeight="1">
      <c r="A71" s="20" t="s">
        <v>53</v>
      </c>
      <c r="B71" s="20" t="s">
        <v>54</v>
      </c>
      <c r="C71" s="25" t="s">
        <v>55</v>
      </c>
      <c r="D71" s="22" t="s">
        <v>53</v>
      </c>
      <c r="E71" s="22" t="s">
        <v>54</v>
      </c>
      <c r="F71" s="22" t="s">
        <v>55</v>
      </c>
    </row>
    <row r="72" spans="1:9">
      <c r="A72" s="19" t="s">
        <v>56</v>
      </c>
      <c r="B72" s="19">
        <v>80</v>
      </c>
      <c r="C72" s="26">
        <v>45</v>
      </c>
      <c r="D72" s="23" t="s">
        <v>59</v>
      </c>
      <c r="E72" s="19">
        <f>_xlfn.XLOOKUP($D72,$A$72:$A$76,B$72:B$76)</f>
        <v>52</v>
      </c>
      <c r="F72" s="19">
        <f>_xlfn.XLOOKUP($D72,$A$72:$A$76,C$72:C$76)</f>
        <v>74</v>
      </c>
    </row>
    <row r="73" spans="1:9">
      <c r="A73" s="19" t="s">
        <v>58</v>
      </c>
      <c r="B73" s="19">
        <v>60</v>
      </c>
      <c r="C73" s="26">
        <v>65</v>
      </c>
      <c r="D73" s="19" t="s">
        <v>60</v>
      </c>
      <c r="E73" s="19">
        <f>_xlfn.XLOOKUP($D73,$A$72:$A$76,B$72:B$76)</f>
        <v>65</v>
      </c>
      <c r="F73" s="19">
        <f>_xlfn.XLOOKUP($D73,$A$72:$A$76,C$72:C$76)</f>
        <v>80</v>
      </c>
    </row>
    <row r="74" spans="1:9">
      <c r="A74" s="19" t="s">
        <v>59</v>
      </c>
      <c r="B74" s="19">
        <v>52</v>
      </c>
      <c r="C74" s="19">
        <v>74</v>
      </c>
      <c r="D74" s="21"/>
    </row>
    <row r="75" spans="1:9">
      <c r="A75" s="19" t="s">
        <v>57</v>
      </c>
      <c r="B75" s="19">
        <v>75</v>
      </c>
      <c r="C75" s="19">
        <v>64</v>
      </c>
    </row>
    <row r="76" spans="1:9">
      <c r="A76" s="19" t="s">
        <v>60</v>
      </c>
      <c r="B76" s="19">
        <v>65</v>
      </c>
      <c r="C76" s="19">
        <v>80</v>
      </c>
    </row>
    <row r="78" spans="1:9" ht="21" customHeight="1">
      <c r="A78" s="41" t="s">
        <v>52</v>
      </c>
      <c r="C78" s="44"/>
      <c r="D78" s="44"/>
      <c r="E78" s="44"/>
      <c r="F78" s="44"/>
    </row>
    <row r="79" spans="1:9">
      <c r="A79" s="20" t="s">
        <v>53</v>
      </c>
      <c r="B79" s="20" t="s">
        <v>54</v>
      </c>
      <c r="C79" s="25" t="s">
        <v>55</v>
      </c>
      <c r="D79" s="22" t="s">
        <v>61</v>
      </c>
      <c r="E79" s="22" t="s">
        <v>62</v>
      </c>
      <c r="F79" s="22" t="s">
        <v>63</v>
      </c>
    </row>
    <row r="80" spans="1:9" ht="19.5" customHeight="1">
      <c r="A80" s="19" t="s">
        <v>56</v>
      </c>
      <c r="B80" s="19">
        <v>80</v>
      </c>
      <c r="C80" s="26">
        <v>45</v>
      </c>
      <c r="D80" s="23" t="s">
        <v>56</v>
      </c>
      <c r="E80" s="19" t="s">
        <v>60</v>
      </c>
      <c r="F80" s="24">
        <f ca="1">SUM(_xlfn.XLOOKUP(D80,A80:A84,B80:B84):_xlfn.XLOOKUP(E80,A80:A84,B80:B84))</f>
        <v>344</v>
      </c>
    </row>
    <row r="81" spans="1:6">
      <c r="A81" s="19" t="s">
        <v>58</v>
      </c>
      <c r="B81" s="19">
        <v>72</v>
      </c>
      <c r="C81" s="19">
        <v>65</v>
      </c>
    </row>
    <row r="82" spans="1:6">
      <c r="A82" s="19" t="s">
        <v>59</v>
      </c>
      <c r="B82" s="19">
        <v>52</v>
      </c>
      <c r="C82" s="19">
        <v>74</v>
      </c>
    </row>
    <row r="83" spans="1:6">
      <c r="A83" s="19" t="s">
        <v>57</v>
      </c>
      <c r="B83" s="19">
        <v>75</v>
      </c>
      <c r="C83" s="19">
        <v>64</v>
      </c>
    </row>
    <row r="84" spans="1:6">
      <c r="A84" s="19" t="s">
        <v>60</v>
      </c>
      <c r="B84" s="19">
        <v>65</v>
      </c>
      <c r="C84" s="19">
        <v>80</v>
      </c>
    </row>
    <row r="86" spans="1:6">
      <c r="A86" s="20" t="s">
        <v>53</v>
      </c>
      <c r="B86" s="19" t="s">
        <v>56</v>
      </c>
      <c r="C86" s="19" t="s">
        <v>58</v>
      </c>
      <c r="D86" s="19" t="s">
        <v>59</v>
      </c>
      <c r="E86" s="19" t="s">
        <v>57</v>
      </c>
      <c r="F86" s="19" t="s">
        <v>60</v>
      </c>
    </row>
    <row r="87" spans="1:6">
      <c r="A87" s="20" t="s">
        <v>54</v>
      </c>
      <c r="B87" s="19">
        <v>80</v>
      </c>
      <c r="C87" s="19">
        <v>60</v>
      </c>
      <c r="D87" s="19">
        <v>52</v>
      </c>
      <c r="E87" s="19">
        <v>75</v>
      </c>
      <c r="F87" s="19">
        <v>65</v>
      </c>
    </row>
    <row r="88" spans="1:6">
      <c r="A88" s="20" t="s">
        <v>55</v>
      </c>
      <c r="B88" s="19">
        <v>45</v>
      </c>
      <c r="C88" s="19">
        <v>65</v>
      </c>
      <c r="D88" s="19">
        <v>74</v>
      </c>
      <c r="E88" s="19">
        <v>64</v>
      </c>
      <c r="F88" s="19">
        <v>80</v>
      </c>
    </row>
    <row r="90" spans="1:6">
      <c r="A90" s="30" t="s">
        <v>53</v>
      </c>
      <c r="B90" s="19" t="s">
        <v>59</v>
      </c>
    </row>
    <row r="91" spans="1:6">
      <c r="A91" s="30" t="s">
        <v>64</v>
      </c>
      <c r="B91" s="19">
        <f>_xlfn.XLOOKUP(B90,B86:F86,B88:F88,"Not Found",0)</f>
        <v>74</v>
      </c>
      <c r="C91" s="21"/>
    </row>
  </sheetData>
  <mergeCells count="19">
    <mergeCell ref="C70:F70"/>
    <mergeCell ref="C78:F78"/>
    <mergeCell ref="B36:D36"/>
    <mergeCell ref="B44:D44"/>
    <mergeCell ref="B28:D28"/>
    <mergeCell ref="A43:E43"/>
    <mergeCell ref="A1:E1"/>
    <mergeCell ref="A35:E35"/>
    <mergeCell ref="A61:E61"/>
    <mergeCell ref="A52:E52"/>
    <mergeCell ref="C62:E62"/>
    <mergeCell ref="A27:E27"/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2026-07-04T11:20:40Z</dcterms:created>
  <dcterms:modified xsi:type="dcterms:W3CDTF">2026-07-05T07:49:20Z</dcterms:modified>
  <cp:category/>
  <cp:contentStatus/>
</cp:coreProperties>
</file>